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2108\OneDrive\바탕 화면\"/>
    </mc:Choice>
  </mc:AlternateContent>
  <xr:revisionPtr revIDLastSave="0" documentId="13_ncr:1_{6F0CA085-819B-4E56-A4C1-C9D624B32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구매리스트" sheetId="1" r:id="rId1"/>
    <sheet name="요약" sheetId="2" r:id="rId2"/>
    <sheet name="학교비품_구매제외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6" i="1"/>
  <c r="G5" i="1"/>
  <c r="G4" i="1"/>
  <c r="G3" i="1"/>
  <c r="G2" i="1"/>
  <c r="B4" i="2" l="1"/>
  <c r="B3" i="2"/>
  <c r="B5" i="2" l="1"/>
  <c r="H14" i="1"/>
  <c r="H1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<sst xmlns="http://schemas.openxmlformats.org/spreadsheetml/2006/main" count="87" uniqueCount="76">
  <si>
    <t>구분</t>
  </si>
  <si>
    <t>품목</t>
  </si>
  <si>
    <t>권장 규격</t>
  </si>
  <si>
    <t>수량</t>
  </si>
  <si>
    <t>단가(원)</t>
  </si>
  <si>
    <t>배송비(원)</t>
  </si>
  <si>
    <t>소계(원)</t>
  </si>
  <si>
    <t>쿠팡 링크</t>
  </si>
  <si>
    <t>메모</t>
  </si>
  <si>
    <t>필수구매</t>
  </si>
  <si>
    <t>PLA 필라멘트</t>
  </si>
  <si>
    <t>3D 프린트 지그/브래킷 제작용</t>
  </si>
  <si>
    <t>스텝모터</t>
  </si>
  <si>
    <t>시린지 펌프 구동용</t>
  </si>
  <si>
    <t>스텝모터 드라이버</t>
  </si>
  <si>
    <t>A4988/DRV8825 확장보드</t>
  </si>
  <si>
    <t>https://www.coupang.com/vp/products/166565710</t>
  </si>
  <si>
    <t>A4988 모듈 장착용 보드</t>
  </si>
  <si>
    <t>모터 구동 전원</t>
  </si>
  <si>
    <t>리드스크류+너트</t>
  </si>
  <si>
    <t>200mm 기준으로 짧게</t>
  </si>
  <si>
    <t>샤프트 커플러</t>
  </si>
  <si>
    <t>5mm-8mm</t>
  </si>
  <si>
    <t>모터축-리드스크류 연결</t>
  </si>
  <si>
    <t>주사기+호스</t>
  </si>
  <si>
    <t>100mL, 호스 1m</t>
  </si>
  <si>
    <t>https://www.coupang.com/vp/products/9086998831?itemId=26700414135&amp;vendorItemId=93672260238&amp;q=%EC%A3%BC%EC%82%AC%EA%B8%B0+100ml&amp;searchId=1df5fce4826602&amp;sourceType=search&amp;itemsCount=36&amp;searchRank=1&amp;rank=1&amp;traceId=mne3sh06</t>
  </si>
  <si>
    <t>네가 고른 제품 기준</t>
  </si>
  <si>
    <t>스마트폰 거치대</t>
  </si>
  <si>
    <t>집게형 클램프</t>
  </si>
  <si>
    <t>https://www.coupang.com/vp/products/6007948713</t>
  </si>
  <si>
    <t>관찰부 고정용</t>
  </si>
  <si>
    <t>배경판</t>
  </si>
  <si>
    <t>조명 대신 배경 통일</t>
  </si>
  <si>
    <t>나사/너트 세트</t>
  </si>
  <si>
    <t>https://www.coupang.com/vp/products/8187121038</t>
  </si>
  <si>
    <t>3D 출력물 조립용</t>
  </si>
  <si>
    <t>적정기 준비물 요약</t>
  </si>
  <si>
    <t>필수구매 합계</t>
  </si>
  <si>
    <t>있으면 좋은것 합계</t>
  </si>
  <si>
    <t>전체 합계</t>
  </si>
  <si>
    <t>• 상용 펌프는 제외하고 DIY 시린지 펌프 부품만 넣음</t>
  </si>
  <si>
    <t>• 탐침 온도계, 식용 색소, 해외배송 후보는 제외</t>
  </si>
  <si>
    <t>• 적외선 센서는 아두이노형이 아니라 스마트폰 부착형으로 수정</t>
  </si>
  <si>
    <t>• 100mL 주사기+호스는 사용자가 준 쿠팡 링크 기준</t>
  </si>
  <si>
    <t>구매 제외(학교 비품 우선 확인)</t>
  </si>
  <si>
    <t>비고</t>
  </si>
  <si>
    <t>삼각플라스크 / 비커</t>
  </si>
  <si>
    <t>반응 용기</t>
  </si>
  <si>
    <t>자기교반기</t>
  </si>
  <si>
    <t>반응부</t>
  </si>
  <si>
    <t>교반자석</t>
  </si>
  <si>
    <t>지시약 / 시약류</t>
  </si>
  <si>
    <t>학교 화학실 비품 우선</t>
  </si>
  <si>
    <t>스탠드 / 클램프</t>
  </si>
  <si>
    <t>있으면 재사용</t>
  </si>
  <si>
    <t>스마트폰</t>
  </si>
  <si>
    <t>개인 휴대폰 사용 가능</t>
  </si>
  <si>
    <t>https://kr.store.bambulab.com/products/pla-basic-filament?id=565422076437794914</t>
    <phoneticPr fontId="8" type="noConversion"/>
  </si>
  <si>
    <t>1.75mm PLA 1kg, 검정</t>
    <phoneticPr fontId="8" type="noConversion"/>
  </si>
  <si>
    <t>https://www.coupang.com/vp/products/8807166413?itemId=25651563795&amp;vendorItemId=92657141545&amp;q=%EC%83%A4%ED%94%84%ED%8A%B8%EC%BB%A4%ED%94%8C%EB%9F%AC&amp;searchId=5d79dc931826945&amp;sourceType=search&amp;itemsCount=36&amp;searchRank=1&amp;rank=1&amp;traceId=mnh4tbv0</t>
    <phoneticPr fontId="8" type="noConversion"/>
  </si>
  <si>
    <t>https://www.coupang.com/vp/products/7699206457?itemId=20609218852&amp;vendorItemId=92613515992&amp;q=%EC%8A%A4%ED%83%AD+%EB%AA%A8%ED%84%B0&amp;searchId=44c300961838358&amp;sourceType=search&amp;itemsCount=36&amp;searchRank=1&amp;rank=1&amp;traceId=mnh4vtzz</t>
    <phoneticPr fontId="8" type="noConversion"/>
  </si>
  <si>
    <t>티앤디 아두이노 고토크 42각 스텝모터 12V 스테핑 모터</t>
    <phoneticPr fontId="8" type="noConversion"/>
  </si>
  <si>
    <t>https://www.coupang.com/vp/products/2093702556?itemId=3556554531&amp;vendorItemId=71542428456&amp;q=%EC%A0%84%EC%9B%90+%EC%96%B4%EB%8C%91%ED%84%B0+DC+12V+5A&amp;searchId=11ed873e1845692&amp;sourceType=search&amp;itemsCount=36&amp;searchRank=1&amp;rank=1&amp;traceId=mnh4ui0b</t>
    <phoneticPr fontId="8" type="noConversion"/>
  </si>
  <si>
    <t>전원 어댑터</t>
    <phoneticPr fontId="8" type="noConversion"/>
  </si>
  <si>
    <t>HP1205CC</t>
    <phoneticPr fontId="8" type="noConversion"/>
  </si>
  <si>
    <t>https://www.coupang.com/vp/products/8841323986?itemId=25769057300&amp;vendorItemId=93937704708&amp;q=t8+%EB%A6%AC%EB%93%9C%EC%8A%A4%ED%81%AC%EB%A5%98&amp;searchId=93bec0ea1857000&amp;sourceType=search&amp;itemsCount=36&amp;searchRank=3&amp;rank=3&amp;traceId=mnh4yoc2</t>
    <phoneticPr fontId="8" type="noConversion"/>
  </si>
  <si>
    <t>200mm</t>
    <phoneticPr fontId="8" type="noConversion"/>
  </si>
  <si>
    <t>https://www.coupang.com/vp/products/7371076712?itemId=19014106843&amp;vendorItemId=86138599627&amp;sourceType=srp_product_ads&amp;clickEventId=edc07890-2e63-11f1-aaf9-0b7d0cac2065&amp;korePlacement=15&amp;koreSubPlacement=11&amp;clickEventId=edc07890-2e63-11f1-aaf9-0b7d0cac2065&amp;korePlacement=15&amp;koreSubPlacement=11&amp;traceId=mnh57r0z</t>
    <phoneticPr fontId="8" type="noConversion"/>
  </si>
  <si>
    <t>흰색 폼보드 10T 600x900</t>
    <phoneticPr fontId="8" type="noConversion"/>
  </si>
  <si>
    <t>M2/M3/M4 키트</t>
    <phoneticPr fontId="8" type="noConversion"/>
  </si>
  <si>
    <t>필수구매</t>
    <phoneticPr fontId="8" type="noConversion"/>
  </si>
  <si>
    <t>어쩔 수 없이 해외 배송을 해야 할 것 같습니다.</t>
    <phoneticPr fontId="8" type="noConversion"/>
  </si>
  <si>
    <t>https://www.coupang.com/vp/products/9064484767?itemId=27783232928&amp;vendorItemId=94806417192&amp;q=infiray+p2+pro+android&amp;searchId=50f165557402411&amp;sourceType=search&amp;itemsCount=32&amp;searchRank=0&amp;rank=0&amp;traceId=mnpexl1p</t>
    <phoneticPr fontId="8" type="noConversion"/>
  </si>
  <si>
    <t>휴대폰 C타입 열화상 카메라</t>
    <phoneticPr fontId="8" type="noConversion"/>
  </si>
  <si>
    <t>INFIRAY P2 Pro 열화상 카메라 iPhone iOS용 Android Type C 스마트폰 적외선 비전 열화상 카메라 열화상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</si>
</sst>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800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2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3" fontId="0" fillId="0" borderId="0" xfId="0" applyNumberFormat="1"/>
    <xf numFmtId="3" fontId="6" fillId="0" borderId="0" xfId="0" applyNumberFormat="1" applyFont="1"/>
    <xf numFmtId="0" fontId="1" fillId="2" borderId="0" xfId="0" applyFont="1" applyFill="1" applyAlignment="1">
      <alignment horizontal="center"/>
    </xf>
    <xf numFmtId="0" fontId="7" fillId="0" borderId="0" xfId="1" applyAlignment="1">
      <alignment vertical="center"/>
    </xf>
    <xf numFmtId="0" fontId="0" fillId="0" borderId="0" xfId="0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Table" displayName="PurchaseTable" ref="A1:I15">
  <autoFilter ref="A1:I15" xr:uid="{00000000-0009-0000-0100-000001000000}"/>
  <tableColumns count="9">
    <tableColumn id="1" xr3:uid="{00000000-0010-0000-0000-000001000000}" name="구분"/>
    <tableColumn id="2" xr3:uid="{00000000-0010-0000-0000-000002000000}" name="품목"/>
    <tableColumn id="3" xr3:uid="{00000000-0010-0000-0000-000003000000}" name="권장 규격"/>
    <tableColumn id="4" xr3:uid="{00000000-0010-0000-0000-000004000000}" name="수량"/>
    <tableColumn id="5" xr3:uid="{00000000-0010-0000-0000-000005000000}" name="단가(원)"/>
    <tableColumn id="6" xr3:uid="{00000000-0010-0000-0000-000006000000}" name="배송비(원)"/>
    <tableColumn id="7" xr3:uid="{00000000-0010-0000-0000-000007000000}" name="소계(원)"/>
    <tableColumn id="8" xr3:uid="{00000000-0010-0000-0000-000008000000}" name="쿠팡 링크"/>
    <tableColumn id="9" xr3:uid="{00000000-0010-0000-0000-000009000000}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8187121038" TargetMode="External"/><Relationship Id="rId3" Type="http://schemas.openxmlformats.org/officeDocument/2006/relationships/hyperlink" Target="https://www.coupang.com/vp/products/8841323986?itemId=25769057300&amp;vendorItemId=93937704708&amp;q=t8+%EB%A6%AC%EB%93%9C%EC%8A%A4%ED%81%AC%EB%A5%98&amp;searchId=93bec0ea1857000&amp;sourceType=search&amp;itemsCount=36&amp;searchRank=3&amp;rank=3&amp;traceId=mnh4yoc2" TargetMode="External"/><Relationship Id="rId7" Type="http://schemas.openxmlformats.org/officeDocument/2006/relationships/hyperlink" Target="https://www.coupang.com/vp/products/7371076712?itemId=19014106843&amp;vendorItemId=86138599627&amp;sourceType=srp_product_ads&amp;clickEventId=edc07890-2e63-11f1-aaf9-0b7d0cac2065&amp;korePlacement=15&amp;koreSubPlacement=11&amp;clickEventId=edc07890-2e63-11f1-aaf9-0b7d0cac2065&amp;korePlacement=15&amp;koreSubPlacement=11&amp;traceId=mnh57r0z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coupang.com/vp/products/166565710" TargetMode="External"/><Relationship Id="rId1" Type="http://schemas.openxmlformats.org/officeDocument/2006/relationships/hyperlink" Target="https://kr.store.bambulab.com/products/pla-basic-filament?id=565422076437794914" TargetMode="External"/><Relationship Id="rId6" Type="http://schemas.openxmlformats.org/officeDocument/2006/relationships/hyperlink" Target="https://www.coupang.com/vp/products/6007948713" TargetMode="External"/><Relationship Id="rId11" Type="http://schemas.openxmlformats.org/officeDocument/2006/relationships/hyperlink" Target="https://www.coupang.com/vp/products/9064484767?itemId=27783232928&amp;vendorItemId=94806417192&amp;q=infiray+p2+pro+android&amp;searchId=50f165557402411&amp;sourceType=search&amp;itemsCount=32&amp;searchRank=0&amp;rank=0&amp;traceId=mnpexl1p" TargetMode="External"/><Relationship Id="rId5" Type="http://schemas.openxmlformats.org/officeDocument/2006/relationships/hyperlink" Target="https://www.coupang.com/vp/products/9086998831?itemId=26700414135&amp;vendorItemId=93672260238&amp;q=%EC%A3%BC%EC%82%AC%EA%B8%B0+100ml&amp;searchId=1df5fce4826602&amp;sourceType=search&amp;itemsCount=36&amp;searchRank=1&amp;rank=1&amp;traceId=mne3sh06" TargetMode="External"/><Relationship Id="rId10" Type="http://schemas.openxmlformats.org/officeDocument/2006/relationships/hyperlink" Target="https://www.coupang.com/vp/products/2093702556?itemId=3556554531&amp;vendorItemId=71542428456&amp;q=%EC%A0%84%EC%9B%90+%EC%96%B4%EB%8C%91%ED%84%B0+DC+12V+5A&amp;searchId=11ed873e1845692&amp;sourceType=search&amp;itemsCount=36&amp;searchRank=1&amp;rank=1&amp;traceId=mnh4ui0b" TargetMode="External"/><Relationship Id="rId4" Type="http://schemas.openxmlformats.org/officeDocument/2006/relationships/hyperlink" Target="https://www.coupang.com/vp/products/8807166413?itemId=25651563795&amp;vendorItemId=92657141545&amp;q=%EC%83%A4%ED%94%84%ED%8A%B8%EC%BB%A4%ED%94%8C%EB%9F%AC&amp;searchId=5d79dc931826945&amp;sourceType=search&amp;itemsCount=36&amp;searchRank=1&amp;rank=1&amp;traceId=mnh4tbv0" TargetMode="External"/><Relationship Id="rId9" Type="http://schemas.openxmlformats.org/officeDocument/2006/relationships/hyperlink" Target="https://www.coupang.com/vp/products/7699206457?itemId=20609218852&amp;vendorItemId=92613515992&amp;q=%EC%8A%A4%ED%83%AD+%EB%AA%A8%ED%84%B0&amp;searchId=44c300961838358&amp;sourceType=search&amp;itemsCount=36&amp;searchRank=1&amp;rank=1&amp;traceId=mnh4vt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workbookViewId="0">
      <pane ySplit="1" topLeftCell="A2" activePane="bottomLeft" state="frozen"/>
      <selection pane="bottomLeft" activeCell="B14" sqref="B14"/>
    </sheetView>
  </sheetViews>
  <sheetFormatPr defaultRowHeight="17.399999999999999" x14ac:dyDescent="0.4"/>
  <cols>
    <col min="1" max="1" width="12" customWidth="1"/>
    <col min="2" max="2" width="20" customWidth="1"/>
    <col min="3" max="3" width="28" customWidth="1"/>
    <col min="4" max="4" width="8" customWidth="1"/>
    <col min="5" max="6" width="12" customWidth="1"/>
    <col min="7" max="7" width="13" customWidth="1"/>
    <col min="8" max="8" width="80" customWidth="1"/>
    <col min="9" max="9" width="28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 t="s">
        <v>9</v>
      </c>
      <c r="B2" s="2" t="s">
        <v>10</v>
      </c>
      <c r="C2" s="2" t="s">
        <v>59</v>
      </c>
      <c r="D2" s="3">
        <v>1</v>
      </c>
      <c r="E2" s="3">
        <v>18000</v>
      </c>
      <c r="F2" s="3">
        <v>3000</v>
      </c>
      <c r="G2" s="4">
        <f t="shared" ref="G2:G13" si="0">D2*E2+F2</f>
        <v>21000</v>
      </c>
      <c r="H2" s="11" t="s">
        <v>58</v>
      </c>
      <c r="I2" s="2" t="s">
        <v>11</v>
      </c>
    </row>
    <row r="3" spans="1:9" x14ac:dyDescent="0.4">
      <c r="A3" s="2" t="s">
        <v>9</v>
      </c>
      <c r="B3" s="2" t="s">
        <v>12</v>
      </c>
      <c r="C3" s="2" t="s">
        <v>62</v>
      </c>
      <c r="D3" s="3">
        <v>1</v>
      </c>
      <c r="E3" s="3">
        <v>21300</v>
      </c>
      <c r="F3" s="3">
        <v>0</v>
      </c>
      <c r="G3" s="4">
        <f t="shared" si="0"/>
        <v>21300</v>
      </c>
      <c r="H3" s="11" t="s">
        <v>61</v>
      </c>
      <c r="I3" s="2" t="s">
        <v>13</v>
      </c>
    </row>
    <row r="4" spans="1:9" x14ac:dyDescent="0.4">
      <c r="A4" s="2" t="s">
        <v>9</v>
      </c>
      <c r="B4" s="2" t="s">
        <v>14</v>
      </c>
      <c r="C4" s="2" t="s">
        <v>15</v>
      </c>
      <c r="D4" s="3">
        <v>1</v>
      </c>
      <c r="E4" s="3">
        <v>4550</v>
      </c>
      <c r="F4" s="3">
        <v>0</v>
      </c>
      <c r="G4" s="4">
        <f t="shared" si="0"/>
        <v>4550</v>
      </c>
      <c r="H4" s="5" t="s">
        <v>16</v>
      </c>
      <c r="I4" s="2" t="s">
        <v>17</v>
      </c>
    </row>
    <row r="5" spans="1:9" x14ac:dyDescent="0.4">
      <c r="A5" s="2" t="s">
        <v>9</v>
      </c>
      <c r="B5" s="2" t="s">
        <v>64</v>
      </c>
      <c r="C5" s="2" t="s">
        <v>65</v>
      </c>
      <c r="D5" s="3">
        <v>1</v>
      </c>
      <c r="E5" s="3">
        <v>8500</v>
      </c>
      <c r="F5" s="3">
        <v>0</v>
      </c>
      <c r="G5" s="4">
        <f t="shared" si="0"/>
        <v>8500</v>
      </c>
      <c r="H5" s="11" t="s">
        <v>63</v>
      </c>
      <c r="I5" s="2" t="s">
        <v>18</v>
      </c>
    </row>
    <row r="6" spans="1:9" x14ac:dyDescent="0.4">
      <c r="A6" s="2" t="s">
        <v>9</v>
      </c>
      <c r="B6" s="2" t="s">
        <v>19</v>
      </c>
      <c r="C6" s="12" t="s">
        <v>67</v>
      </c>
      <c r="D6" s="3">
        <v>1</v>
      </c>
      <c r="E6" s="3">
        <v>10300</v>
      </c>
      <c r="F6" s="3">
        <v>0</v>
      </c>
      <c r="G6" s="4">
        <f t="shared" si="0"/>
        <v>10300</v>
      </c>
      <c r="H6" s="11" t="s">
        <v>66</v>
      </c>
      <c r="I6" s="2" t="s">
        <v>20</v>
      </c>
    </row>
    <row r="7" spans="1:9" x14ac:dyDescent="0.4">
      <c r="A7" s="2"/>
      <c r="B7" s="2"/>
      <c r="C7" s="2"/>
      <c r="D7" s="3"/>
      <c r="E7" s="3"/>
      <c r="F7" s="3"/>
      <c r="G7" s="4"/>
      <c r="H7" s="5"/>
      <c r="I7" s="2"/>
    </row>
    <row r="8" spans="1:9" x14ac:dyDescent="0.4">
      <c r="A8" s="2" t="s">
        <v>9</v>
      </c>
      <c r="B8" s="2" t="s">
        <v>21</v>
      </c>
      <c r="C8" s="2" t="s">
        <v>22</v>
      </c>
      <c r="D8" s="3">
        <v>1</v>
      </c>
      <c r="E8" s="3">
        <v>11500</v>
      </c>
      <c r="F8" s="3">
        <v>0</v>
      </c>
      <c r="G8" s="4">
        <f t="shared" si="0"/>
        <v>11500</v>
      </c>
      <c r="H8" s="11" t="s">
        <v>60</v>
      </c>
      <c r="I8" s="2" t="s">
        <v>23</v>
      </c>
    </row>
    <row r="9" spans="1:9" x14ac:dyDescent="0.4">
      <c r="A9" s="2" t="s">
        <v>9</v>
      </c>
      <c r="B9" s="2" t="s">
        <v>24</v>
      </c>
      <c r="C9" s="2" t="s">
        <v>25</v>
      </c>
      <c r="D9" s="3">
        <v>2</v>
      </c>
      <c r="E9" s="3">
        <v>4660</v>
      </c>
      <c r="F9" s="3">
        <v>0</v>
      </c>
      <c r="G9" s="4">
        <f t="shared" si="0"/>
        <v>9320</v>
      </c>
      <c r="H9" s="5" t="s">
        <v>26</v>
      </c>
      <c r="I9" s="2" t="s">
        <v>27</v>
      </c>
    </row>
    <row r="10" spans="1:9" x14ac:dyDescent="0.4">
      <c r="A10" s="2" t="s">
        <v>9</v>
      </c>
      <c r="B10" s="2" t="s">
        <v>28</v>
      </c>
      <c r="C10" s="2" t="s">
        <v>29</v>
      </c>
      <c r="D10" s="3">
        <v>1</v>
      </c>
      <c r="E10" s="3">
        <v>5250</v>
      </c>
      <c r="F10" s="3">
        <v>0</v>
      </c>
      <c r="G10" s="4">
        <f t="shared" si="0"/>
        <v>5250</v>
      </c>
      <c r="H10" s="5" t="s">
        <v>30</v>
      </c>
      <c r="I10" s="2" t="s">
        <v>31</v>
      </c>
    </row>
    <row r="11" spans="1:9" x14ac:dyDescent="0.4">
      <c r="A11" s="2" t="s">
        <v>9</v>
      </c>
      <c r="B11" s="2" t="s">
        <v>32</v>
      </c>
      <c r="C11" s="2" t="s">
        <v>69</v>
      </c>
      <c r="D11" s="3">
        <v>1</v>
      </c>
      <c r="E11" s="3">
        <v>8280</v>
      </c>
      <c r="F11" s="3">
        <v>6000</v>
      </c>
      <c r="G11" s="4">
        <f t="shared" si="0"/>
        <v>14280</v>
      </c>
      <c r="H11" s="11" t="s">
        <v>68</v>
      </c>
      <c r="I11" s="2" t="s">
        <v>33</v>
      </c>
    </row>
    <row r="12" spans="1:9" x14ac:dyDescent="0.4">
      <c r="A12" s="2" t="s">
        <v>9</v>
      </c>
      <c r="B12" s="2" t="s">
        <v>34</v>
      </c>
      <c r="C12" s="2" t="s">
        <v>70</v>
      </c>
      <c r="D12" s="3">
        <v>1</v>
      </c>
      <c r="E12" s="3">
        <v>9200</v>
      </c>
      <c r="F12" s="3">
        <v>0</v>
      </c>
      <c r="G12" s="4">
        <f t="shared" si="0"/>
        <v>9200</v>
      </c>
      <c r="H12" s="5" t="s">
        <v>35</v>
      </c>
      <c r="I12" s="2" t="s">
        <v>36</v>
      </c>
    </row>
    <row r="13" spans="1:9" x14ac:dyDescent="0.4">
      <c r="A13" s="2" t="s">
        <v>71</v>
      </c>
      <c r="B13" s="2" t="s">
        <v>75</v>
      </c>
      <c r="C13" s="2" t="s">
        <v>74</v>
      </c>
      <c r="D13" s="3">
        <v>1</v>
      </c>
      <c r="E13" s="3">
        <v>462500</v>
      </c>
      <c r="F13" s="3">
        <v>0</v>
      </c>
      <c r="G13" s="4">
        <f>D13*E13+F13</f>
        <v>462500</v>
      </c>
      <c r="H13" s="11" t="s">
        <v>73</v>
      </c>
      <c r="I13" s="2" t="s">
        <v>72</v>
      </c>
    </row>
    <row r="14" spans="1:9" x14ac:dyDescent="0.4">
      <c r="A14" s="3"/>
      <c r="B14" s="2"/>
      <c r="C14" s="2"/>
      <c r="D14" s="3"/>
      <c r="F14" s="3"/>
      <c r="G14" s="4"/>
      <c r="H14" s="2" cm="1">
        <f t="array" aca="1" ref="H14" ca="1">H14:K14</f>
        <v>0</v>
      </c>
      <c r="I14" s="2"/>
    </row>
    <row r="15" spans="1:9" x14ac:dyDescent="0.4">
      <c r="A15" s="2"/>
      <c r="B15" s="2"/>
      <c r="C15" s="2"/>
      <c r="D15" s="3"/>
      <c r="E15" s="3"/>
      <c r="F15" s="3"/>
      <c r="G15" s="4"/>
      <c r="H15" s="5"/>
      <c r="I15" s="2"/>
    </row>
  </sheetData>
  <phoneticPr fontId="8" type="noConversion"/>
  <hyperlinks>
    <hyperlink ref="H2" r:id="rId1" xr:uid="{00000000-0004-0000-0000-000000000000}"/>
    <hyperlink ref="H4" r:id="rId2" xr:uid="{00000000-0004-0000-0000-000002000000}"/>
    <hyperlink ref="H6" r:id="rId3" xr:uid="{00000000-0004-0000-0000-000004000000}"/>
    <hyperlink ref="H8" r:id="rId4" xr:uid="{00000000-0004-0000-0000-000006000000}"/>
    <hyperlink ref="H9" r:id="rId5" xr:uid="{00000000-0004-0000-0000-000007000000}"/>
    <hyperlink ref="H10" r:id="rId6" xr:uid="{00000000-0004-0000-0000-000008000000}"/>
    <hyperlink ref="H11" r:id="rId7" display="https://www.coupang.com/vp/products/7371076712?itemId=19014106843&amp;vendorItemId=86138599627&amp;sourceType=srp_product_ads&amp;clickEventId=edc07890-2e63-11f1-aaf9-0b7d0cac2065&amp;korePlacement=15&amp;koreSubPlacement=11&amp;clickEventId=edc07890-2e63-11f1-aaf9-0b7d0cac2065&amp;korePlacement=15&amp;koreSubPlacement=11&amp;traceId=mnh57r0z" xr:uid="{00000000-0004-0000-0000-000009000000}"/>
    <hyperlink ref="H12" r:id="rId8" xr:uid="{00000000-0004-0000-0000-00000A000000}"/>
    <hyperlink ref="H3" r:id="rId9" xr:uid="{7DB194D0-6BC1-4A10-A9B3-E3657631C142}"/>
    <hyperlink ref="H5" r:id="rId10" xr:uid="{4C67A65C-BF60-44BA-858D-3E99649524F6}"/>
    <hyperlink ref="H13" r:id="rId11" xr:uid="{41392213-D990-4AC4-9EA4-E3B7D4A26CB3}"/>
  </hyperlinks>
  <pageMargins left="0.75" right="0.75" top="1" bottom="1" header="0.5" footer="0.5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defaultRowHeight="17.399999999999999" x14ac:dyDescent="0.4"/>
  <cols>
    <col min="1" max="1" width="46" customWidth="1"/>
    <col min="2" max="2" width="16" customWidth="1"/>
  </cols>
  <sheetData>
    <row r="1" spans="1:2" ht="21" x14ac:dyDescent="0.45">
      <c r="A1" s="6" t="s">
        <v>37</v>
      </c>
    </row>
    <row r="3" spans="1:2" x14ac:dyDescent="0.4">
      <c r="A3" s="7" t="s">
        <v>38</v>
      </c>
      <c r="B3" s="8">
        <f>SUMIF(구매리스트!A:A,"필수구매",구매리스트!G:G)</f>
        <v>577700</v>
      </c>
    </row>
    <row r="4" spans="1:2" x14ac:dyDescent="0.4">
      <c r="A4" s="7" t="s">
        <v>39</v>
      </c>
      <c r="B4" s="8">
        <f>SUMIF(구매리스트!A:A,"있으면 좋은것",구매리스트!G:G)</f>
        <v>0</v>
      </c>
    </row>
    <row r="5" spans="1:2" x14ac:dyDescent="0.4">
      <c r="A5" s="7" t="s">
        <v>40</v>
      </c>
      <c r="B5" s="9">
        <f>SUM(B3:B4)</f>
        <v>577700</v>
      </c>
    </row>
    <row r="7" spans="1:2" x14ac:dyDescent="0.4">
      <c r="A7" t="s">
        <v>8</v>
      </c>
    </row>
    <row r="8" spans="1:2" x14ac:dyDescent="0.4">
      <c r="A8" t="s">
        <v>41</v>
      </c>
    </row>
    <row r="9" spans="1:2" x14ac:dyDescent="0.4">
      <c r="A9" t="s">
        <v>42</v>
      </c>
    </row>
    <row r="10" spans="1:2" x14ac:dyDescent="0.4">
      <c r="A10" t="s">
        <v>43</v>
      </c>
    </row>
    <row r="11" spans="1:2" x14ac:dyDescent="0.4">
      <c r="A11" t="s">
        <v>44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7.399999999999999" x14ac:dyDescent="0.4"/>
  <cols>
    <col min="1" max="1" width="28" customWidth="1"/>
    <col min="2" max="2" width="26" customWidth="1"/>
  </cols>
  <sheetData>
    <row r="1" spans="1:2" x14ac:dyDescent="0.4">
      <c r="A1" s="10" t="s">
        <v>45</v>
      </c>
      <c r="B1" s="10" t="s">
        <v>46</v>
      </c>
    </row>
    <row r="2" spans="1:2" x14ac:dyDescent="0.4">
      <c r="A2" t="s">
        <v>47</v>
      </c>
      <c r="B2" t="s">
        <v>48</v>
      </c>
    </row>
    <row r="3" spans="1:2" x14ac:dyDescent="0.4">
      <c r="A3" t="s">
        <v>49</v>
      </c>
      <c r="B3" t="s">
        <v>50</v>
      </c>
    </row>
    <row r="4" spans="1:2" x14ac:dyDescent="0.4">
      <c r="A4" t="s">
        <v>51</v>
      </c>
      <c r="B4" t="s">
        <v>50</v>
      </c>
    </row>
    <row r="5" spans="1:2" x14ac:dyDescent="0.4">
      <c r="A5" t="s">
        <v>52</v>
      </c>
      <c r="B5" t="s">
        <v>53</v>
      </c>
    </row>
    <row r="6" spans="1:2" x14ac:dyDescent="0.4">
      <c r="A6" t="s">
        <v>54</v>
      </c>
      <c r="B6" t="s">
        <v>55</v>
      </c>
    </row>
    <row r="7" spans="1:2" x14ac:dyDescent="0.4">
      <c r="A7" t="s">
        <v>56</v>
      </c>
      <c r="B7" t="s">
        <v>57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구매리스트</vt:lpstr>
      <vt:lpstr>요약</vt:lpstr>
      <vt:lpstr>학교비품_구매제외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[1학년 3반]안욱현</cp:lastModifiedBy>
  <dcterms:created xsi:type="dcterms:W3CDTF">2026-04-01T07:24:41Z</dcterms:created>
  <dcterms:modified xsi:type="dcterms:W3CDTF">2026-04-08T02:23:03Z</dcterms:modified>
</cp:coreProperties>
</file>